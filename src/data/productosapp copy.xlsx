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fabra\Downloads\"/>
    </mc:Choice>
  </mc:AlternateContent>
  <xr:revisionPtr revIDLastSave="0" documentId="8_{807C725E-7630-41B7-A859-DA44AF126E10}" xr6:coauthVersionLast="47" xr6:coauthVersionMax="47" xr10:uidLastSave="{00000000-0000-0000-0000-000000000000}"/>
  <bookViews>
    <workbookView xWindow="-108" yWindow="-108" windowWidth="23256" windowHeight="13896" xr2:uid="{60DA1FDE-CC4C-430E-9803-B2F6747B646D}"/>
  </bookViews>
  <sheets>
    <sheet name="Produc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1" l="1"/>
  <c r="L59" i="1"/>
  <c r="H58" i="1"/>
  <c r="L58" i="1" s="1"/>
  <c r="H57" i="1"/>
  <c r="L57" i="1"/>
  <c r="H56" i="1"/>
  <c r="L56" i="1"/>
  <c r="H55" i="1"/>
  <c r="L55" i="1" s="1"/>
  <c r="H54" i="1"/>
  <c r="L54" i="1" s="1"/>
  <c r="H53" i="1"/>
  <c r="L53" i="1" s="1"/>
  <c r="H52" i="1"/>
  <c r="H51" i="1"/>
  <c r="H50" i="1"/>
  <c r="H49" i="1"/>
  <c r="H48" i="1"/>
  <c r="H47" i="1"/>
  <c r="H46" i="1"/>
  <c r="H45" i="1"/>
  <c r="H44" i="1"/>
  <c r="H43" i="1"/>
  <c r="H2" i="1"/>
  <c r="L2" i="1" s="1"/>
  <c r="H3" i="1"/>
  <c r="L3" i="1" s="1"/>
  <c r="H4" i="1"/>
  <c r="L4" i="1" s="1"/>
  <c r="H5" i="1"/>
  <c r="L5" i="1" s="1"/>
  <c r="H6" i="1"/>
  <c r="L6" i="1" s="1"/>
  <c r="H7" i="1"/>
  <c r="L7" i="1" s="1"/>
  <c r="H8" i="1"/>
  <c r="L8" i="1" s="1"/>
  <c r="H9" i="1"/>
  <c r="L9" i="1" s="1"/>
  <c r="H10" i="1"/>
  <c r="L10" i="1" s="1"/>
  <c r="H11" i="1"/>
  <c r="L11" i="1" s="1"/>
  <c r="H12" i="1"/>
  <c r="L12" i="1" s="1"/>
  <c r="H13" i="1"/>
  <c r="L13" i="1" s="1"/>
  <c r="H14" i="1"/>
  <c r="L14" i="1" s="1"/>
  <c r="H15" i="1"/>
  <c r="L15" i="1" s="1"/>
  <c r="H16" i="1"/>
  <c r="L16" i="1" s="1"/>
  <c r="H17" i="1"/>
  <c r="L17" i="1" s="1"/>
  <c r="H18" i="1"/>
  <c r="L18" i="1" s="1"/>
  <c r="H19" i="1"/>
  <c r="L19" i="1" s="1"/>
  <c r="H20" i="1"/>
  <c r="L20" i="1" s="1"/>
  <c r="H21" i="1"/>
  <c r="L21" i="1" s="1"/>
  <c r="H22" i="1"/>
  <c r="L22" i="1" s="1"/>
  <c r="H23" i="1"/>
  <c r="L23" i="1" s="1"/>
  <c r="H24" i="1"/>
  <c r="L24" i="1" s="1"/>
  <c r="H25" i="1"/>
  <c r="L25" i="1" s="1"/>
  <c r="H26" i="1"/>
  <c r="L26" i="1" s="1"/>
  <c r="H27" i="1"/>
  <c r="L27" i="1" s="1"/>
  <c r="H28" i="1"/>
  <c r="L28" i="1" s="1"/>
  <c r="H29" i="1"/>
  <c r="L29" i="1" s="1"/>
  <c r="H30" i="1"/>
  <c r="L30" i="1" s="1"/>
  <c r="H31" i="1"/>
  <c r="L31" i="1" s="1"/>
  <c r="H32" i="1"/>
  <c r="L32" i="1" s="1"/>
  <c r="H33" i="1"/>
  <c r="L33" i="1" s="1"/>
  <c r="H34" i="1"/>
  <c r="L34" i="1" s="1"/>
  <c r="H35" i="1"/>
  <c r="L35" i="1" s="1"/>
  <c r="H36" i="1"/>
  <c r="L36" i="1" s="1"/>
  <c r="H37" i="1"/>
  <c r="L37" i="1" s="1"/>
  <c r="H38" i="1"/>
  <c r="L38" i="1" s="1"/>
  <c r="H39" i="1"/>
  <c r="L39" i="1" s="1"/>
  <c r="H40" i="1"/>
  <c r="L40" i="1" s="1"/>
  <c r="H41" i="1"/>
  <c r="L41" i="1" s="1"/>
  <c r="H42" i="1"/>
  <c r="L42" i="1" s="1"/>
</calcChain>
</file>

<file path=xl/sharedStrings.xml><?xml version="1.0" encoding="utf-8"?>
<sst xmlns="http://schemas.openxmlformats.org/spreadsheetml/2006/main" count="243" uniqueCount="147">
  <si>
    <t>Id_Producto</t>
  </si>
  <si>
    <t>Categoria</t>
  </si>
  <si>
    <t>SubTipo</t>
  </si>
  <si>
    <t>Altura_m</t>
  </si>
  <si>
    <t>Largo_m</t>
  </si>
  <si>
    <t>Grosor_mm</t>
  </si>
  <si>
    <t>Separacion_cm</t>
  </si>
  <si>
    <t>M2_Rollo</t>
  </si>
  <si>
    <t>PrecioCompra_UYU</t>
  </si>
  <si>
    <t>PrecioVenta_UYU</t>
  </si>
  <si>
    <t>PrecioCosto_M2</t>
  </si>
  <si>
    <t>PrecioVenta_M2</t>
  </si>
  <si>
    <t>observacion</t>
  </si>
  <si>
    <t>__PowerAppsId__</t>
  </si>
  <si>
    <t>ME16100</t>
  </si>
  <si>
    <t xml:space="preserve">Malla  </t>
  </si>
  <si>
    <t>Electrosoldada</t>
  </si>
  <si>
    <t>M2 EN DOLARES</t>
  </si>
  <si>
    <t>91e2de10-e1e0-4c4a-b7b9-6057cfb4fb84</t>
  </si>
  <si>
    <t>ME16120</t>
  </si>
  <si>
    <t>2f54841a-5e8e-4766-83cf-c5d0478c5190</t>
  </si>
  <si>
    <t>ME16150</t>
  </si>
  <si>
    <t>270f3afe-5965-45e6-bbef-38c289f233a2</t>
  </si>
  <si>
    <t>ME16180</t>
  </si>
  <si>
    <t>3375bf6a-bf43-4a84-8e67-5104df00e1f7</t>
  </si>
  <si>
    <t>ME19100</t>
  </si>
  <si>
    <t>f936d198-a710-4a01-957b-e70cf19f11e7</t>
  </si>
  <si>
    <t>ME19120</t>
  </si>
  <si>
    <t>8063dfdf-639c-46ef-99d4-c714efd1fdaf</t>
  </si>
  <si>
    <t>ME19150</t>
  </si>
  <si>
    <t>2fcf9cc3-1d20-4e84-977f-026ad96284e8</t>
  </si>
  <si>
    <t>ME19180</t>
  </si>
  <si>
    <t>8f31d129-036f-4ed7-a306-ffd0674462d7</t>
  </si>
  <si>
    <t>ME19200</t>
  </si>
  <si>
    <t>aaa6138e-4ce6-4f8a-b27c-fce2cafe9802</t>
  </si>
  <si>
    <t>ME25100</t>
  </si>
  <si>
    <t>f79d1d56-4ea0-4ef8-b65f-1bfd5426722b</t>
  </si>
  <si>
    <t>ME25120</t>
  </si>
  <si>
    <t>6269df57-d2a3-438d-bdac-67adc80abe64</t>
  </si>
  <si>
    <t>ME25150</t>
  </si>
  <si>
    <t>8c1e5a56-5421-4d8c-a0ee-8e40afd29010</t>
  </si>
  <si>
    <t>ME25180</t>
  </si>
  <si>
    <t>b0394d23-becb-4898-9ebe-81bcff00e9df</t>
  </si>
  <si>
    <t>ME25200</t>
  </si>
  <si>
    <t>1911018e-3125-472a-a446-6c595e74fd1e</t>
  </si>
  <si>
    <t>MA10255</t>
  </si>
  <si>
    <t>Atillada</t>
  </si>
  <si>
    <t>precio compra en usd</t>
  </si>
  <si>
    <t>15d08501-dcf3-4981-8760-e9a903bc2cf6</t>
  </si>
  <si>
    <t>MA12255</t>
  </si>
  <si>
    <t>ffd8809d-b5ea-456e-bba2-c9a7702a1ad7</t>
  </si>
  <si>
    <t>MA14255</t>
  </si>
  <si>
    <t>75613de4-c95f-4695-bab8-f700f2a509fa</t>
  </si>
  <si>
    <t>MA10505</t>
  </si>
  <si>
    <t>aeb9107f-36ec-42dc-9a7b-672a85a74d7e</t>
  </si>
  <si>
    <t>MA12505</t>
  </si>
  <si>
    <t>b6e24a83-bf5a-4e0a-bcd1-128f6a4183d7</t>
  </si>
  <si>
    <t>MA14505</t>
  </si>
  <si>
    <t>85642b0b-2155-4e59-8045-a36bc151b662</t>
  </si>
  <si>
    <t>MA102510</t>
  </si>
  <si>
    <t>97417882-dea8-47b4-8586-f4c4814b0d54</t>
  </si>
  <si>
    <t>MA122510</t>
  </si>
  <si>
    <t>5966cc63-0389-424d-afe0-c5eb63eda976</t>
  </si>
  <si>
    <t>MA142510</t>
  </si>
  <si>
    <t>89a2f596-8415-4860-a64a-e9b7d2e872bf</t>
  </si>
  <si>
    <t>MA105010</t>
  </si>
  <si>
    <t>66dd2851-7df4-4e98-9325-148f16ba4d28</t>
  </si>
  <si>
    <t>4aca7131-86e4-4915-8a2d-dce089756f7f</t>
  </si>
  <si>
    <t>MA145010</t>
  </si>
  <si>
    <t>100ea6bc-6985-47ab-bef8-71149a7188e6</t>
  </si>
  <si>
    <t>MA102515</t>
  </si>
  <si>
    <t>e3337507-28de-43c5-a1d7-08824f65a2f9</t>
  </si>
  <si>
    <t>MA122515</t>
  </si>
  <si>
    <t>b551be49-fc9c-404d-a1b3-b676e4cbe3b4</t>
  </si>
  <si>
    <t>MA142515</t>
  </si>
  <si>
    <t>0bd55196-dd64-4c23-9747-3c45ace2af35</t>
  </si>
  <si>
    <t>MA105015</t>
  </si>
  <si>
    <t>1c2c0ff2-bc0d-4e80-af1d-998aedd69f09</t>
  </si>
  <si>
    <t>MA125015</t>
  </si>
  <si>
    <t>af579b71-0d82-4543-a626-65377fddbb6b</t>
  </si>
  <si>
    <t>MA145015</t>
  </si>
  <si>
    <t>799c0724-caaa-4057-a721-602a98a31e5f</t>
  </si>
  <si>
    <t>MA1010015</t>
  </si>
  <si>
    <t>4243808a-cce1-4fdb-9d9c-c77b53eb59bd</t>
  </si>
  <si>
    <t>MA1210015</t>
  </si>
  <si>
    <t>3ec65d75-0a60-416e-9423-c8a7be192846</t>
  </si>
  <si>
    <t>MA1410015</t>
  </si>
  <si>
    <t>556ee33d-3ace-4269-a442-a98504d987ab</t>
  </si>
  <si>
    <t>MA105030</t>
  </si>
  <si>
    <t>b5c9e1a2-a8b3-44fb-a7f0-96728cc7b95e</t>
  </si>
  <si>
    <t>MA125030</t>
  </si>
  <si>
    <t>d8f4291d-5a6a-49d1-aec7-848a2db74c33</t>
  </si>
  <si>
    <t>MA145030</t>
  </si>
  <si>
    <t>b05c5f8f-d7de-4e8c-99f4-009c18b0af60</t>
  </si>
  <si>
    <t>MA1010030</t>
  </si>
  <si>
    <t>f0651dd3-4f2c-43cc-afc3-a997d1979c7a</t>
  </si>
  <si>
    <t>MA1210030</t>
  </si>
  <si>
    <t>b200fe1b-b7ff-42b0-bc2e-ded1812891a0</t>
  </si>
  <si>
    <t>MA1410030</t>
  </si>
  <si>
    <t>2c77b2ee-546b-4b0a-aa6d-992e48f6bcb5</t>
  </si>
  <si>
    <t>PC220</t>
  </si>
  <si>
    <t>Postes curados</t>
  </si>
  <si>
    <t>a80a7203-48ce-4108-b955-9f61b559f4f9</t>
  </si>
  <si>
    <t>PC240</t>
  </si>
  <si>
    <t>eac9335f-3d0f-4079-8bd3-34f6dee9fda2</t>
  </si>
  <si>
    <t>PC260</t>
  </si>
  <si>
    <t>4eac6049-1428-4bd3-a361-9241527fbd5d</t>
  </si>
  <si>
    <t>TR080820</t>
  </si>
  <si>
    <t>Tejido Rombo</t>
  </si>
  <si>
    <t>8*8</t>
  </si>
  <si>
    <t>7a14be6b-8132-4e13-8515-12e6438099d9</t>
  </si>
  <si>
    <t>TR080825</t>
  </si>
  <si>
    <t>87f32d9e-3022-449d-baf1-fcec0fc77a45</t>
  </si>
  <si>
    <t>TR050520</t>
  </si>
  <si>
    <t>5*5</t>
  </si>
  <si>
    <t>53d33907-5bff-4cbb-83b8-ba7918259647</t>
  </si>
  <si>
    <t>TR050525</t>
  </si>
  <si>
    <t>9bb4d49f-0b41-4348-b58e-07cf9fd798e9</t>
  </si>
  <si>
    <t>PG</t>
  </si>
  <si>
    <t>Piques Galvanizados</t>
  </si>
  <si>
    <t>4ef0782a-c4d7-451e-8b4e-dab55f70d36d</t>
  </si>
  <si>
    <t>ACCTE</t>
  </si>
  <si>
    <t>Tensores</t>
  </si>
  <si>
    <t>1d37e23e-590c-4ca4-abce-57cda8b70846</t>
  </si>
  <si>
    <t>ACCGR</t>
  </si>
  <si>
    <t>Grampas</t>
  </si>
  <si>
    <t>eedfa35d-1d47-4209-9605-936f48b530ec</t>
  </si>
  <si>
    <t>ALACC</t>
  </si>
  <si>
    <t>Alambre</t>
  </si>
  <si>
    <t>Acerado</t>
  </si>
  <si>
    <t>83d60ec6-4f55-47eb-9616-6c2577847376</t>
  </si>
  <si>
    <t>ALDUL</t>
  </si>
  <si>
    <t>Dulce Galvanizado</t>
  </si>
  <si>
    <t>X KILO , precio compra en usd</t>
  </si>
  <si>
    <t>cc83657f-9749-4104-8aeb-8cd2ec81a51b</t>
  </si>
  <si>
    <t>ALQUI</t>
  </si>
  <si>
    <t>De quinchar</t>
  </si>
  <si>
    <t>55b876e4-aad2-4338-96b8-17c8282b2e59</t>
  </si>
  <si>
    <t>Ganadera</t>
  </si>
  <si>
    <t>71d50c15-50a5-414a-91ad-7c40f8bfcd01</t>
  </si>
  <si>
    <t>7f6e6412-bbeb-4318-851f-ec6c6565fb13</t>
  </si>
  <si>
    <t>86b284c3-bd42-4ef4-82b5-07ecebc062ff</t>
  </si>
  <si>
    <t>TAEU</t>
  </si>
  <si>
    <t>Tablas  Eucalipto</t>
  </si>
  <si>
    <t>18f45ec3-9859-4ac0-9276-5616f7297aa3</t>
  </si>
  <si>
    <t xml:space="preserve">                                                                                           </t>
  </si>
  <si>
    <t>MA125010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</si>
</sst>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6">
    <dxf>
      <numFmt numFmtId="34" formatCode="_-&quot;$&quot;\ * #,##0.00_-;\-&quot;$&quot;\ * #,##0.00_-;_-&quot;$&quot;\ * &quot;-&quot;??_-;_-@_-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8C7961-B007-4D99-A000-C83A08A7E372}" name="tProductos" displayName="tProductos" ref="A1:N59" totalsRowShown="0">
  <autoFilter ref="A1:N59" xr:uid="{508C7961-B007-4D99-A000-C83A08A7E372}"/>
  <tableColumns count="14">
    <tableColumn id="1" xr3:uid="{92EE6895-4E02-4EA9-B5E6-C8DBBAC171F3}" name="Id_Producto"/>
    <tableColumn id="2" xr3:uid="{F29C5A29-EFA4-4DF5-890A-69AF8DAAF461}" name="Categoria"/>
    <tableColumn id="12" xr3:uid="{A35F35D7-4F05-4AE1-B17F-522C5698D3F9}" name="SubTipo"/>
    <tableColumn id="3" xr3:uid="{3588193D-B2E8-4402-8C1D-AC33A10E96CA}" name="Altura_m" dataDxfId="5"/>
    <tableColumn id="4" xr3:uid="{DB6EE1AA-66B1-4F84-91B1-1CF4F8E217B1}" name="Largo_m" dataDxfId="4"/>
    <tableColumn id="5" xr3:uid="{26DE02ED-64E9-49EC-9FB5-10331790EAC5}" name="Grosor_mm" dataDxfId="3"/>
    <tableColumn id="6" xr3:uid="{5A9F43EE-D50D-4015-806C-0DE5311B808E}" name="Separacion_cm" dataDxfId="2"/>
    <tableColumn id="11" xr3:uid="{FCAAE7C5-F3E5-451D-8A4B-065363E14DDE}" name="M2_Rollo" dataDxfId="1">
      <calculatedColumnFormula>tProductos[[#This Row],[Altura_m]]*tProductos[[#This Row],[Largo_m]]</calculatedColumnFormula>
    </tableColumn>
    <tableColumn id="7" xr3:uid="{DC91E5DC-9259-4B9B-BBCA-72E4E7EAE8A6}" name="PrecioCompra_UYU" dataCellStyle="Moneda"/>
    <tableColumn id="8" xr3:uid="{7A28A070-DBF5-4DE6-995D-537C63AE9183}" name="PrecioVenta_UYU" dataCellStyle="Moneda"/>
    <tableColumn id="9" xr3:uid="{85108DF6-D5BA-4BFE-A59F-B309D07F152D}" name="PrecioCosto_M2" dataCellStyle="Moneda"/>
    <tableColumn id="10" xr3:uid="{73BAEC83-E62A-400B-91C4-024CF4337DA0}" name="PrecioVenta_M2" dataDxfId="0">
      <calculatedColumnFormula>tProductos[[#This Row],[PrecioVenta_UYU]]/tProductos[[#This Row],[M2_Rollo]]</calculatedColumnFormula>
    </tableColumn>
    <tableColumn id="13" xr3:uid="{CAF2C58D-D491-4DDD-973B-D4A03895869C}" name="observacion"/>
    <tableColumn id="14" xr3:uid="{8113944B-6BD3-4B38-9E1D-1B3BE65827D4}" name="__PowerAppsId__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2C01-7DB2-4E03-B0AE-70B39D84709F}">
  <dimension ref="A1:N63"/>
  <sheetViews>
    <sheetView tabSelected="1" topLeftCell="C1" workbookViewId="0">
      <pane ySplit="1" topLeftCell="A2" activePane="bottomLeft" state="frozen"/>
      <selection pane="bottomLeft" activeCell="K4" sqref="K4"/>
    </sheetView>
  </sheetViews>
  <sheetFormatPr baseColWidth="10" defaultColWidth="11.44140625" defaultRowHeight="14.4" x14ac:dyDescent="0.3"/>
  <cols>
    <col min="1" max="1" width="12.88671875" customWidth="1"/>
    <col min="2" max="3" width="17.6640625" customWidth="1"/>
    <col min="4" max="4" width="11.5546875" style="1"/>
    <col min="5" max="5" width="11.5546875" style="2"/>
    <col min="6" max="6" width="11.5546875" style="1"/>
    <col min="7" max="7" width="15.6640625" style="2" bestFit="1" customWidth="1"/>
    <col min="8" max="8" width="15.6640625" style="2" customWidth="1"/>
    <col min="9" max="9" width="25.88671875" style="3" customWidth="1"/>
    <col min="10" max="10" width="19.33203125" style="3" customWidth="1"/>
    <col min="11" max="11" width="18.6640625" style="3" customWidth="1"/>
    <col min="12" max="12" width="22.88671875" customWidth="1"/>
    <col min="13" max="13" width="23.6640625" customWidth="1"/>
    <col min="14" max="14" width="37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s="1">
        <v>1</v>
      </c>
      <c r="E2" s="2">
        <v>25</v>
      </c>
      <c r="F2" s="1">
        <v>1.6</v>
      </c>
      <c r="H2" s="2">
        <f>tProductos[[#This Row],[Altura_m]]*tProductos[[#This Row],[Largo_m]]</f>
        <v>25</v>
      </c>
      <c r="J2" s="3">
        <v>1800</v>
      </c>
      <c r="K2" s="3">
        <v>1.2070000000000001</v>
      </c>
      <c r="L2" s="4">
        <f>tProductos[[#This Row],[PrecioVenta_UYU]]/tProductos[[#This Row],[M2_Rollo]]</f>
        <v>72</v>
      </c>
      <c r="M2" t="s">
        <v>17</v>
      </c>
      <c r="N2" s="3" t="s">
        <v>18</v>
      </c>
    </row>
    <row r="3" spans="1:14" x14ac:dyDescent="0.3">
      <c r="A3" t="s">
        <v>19</v>
      </c>
      <c r="B3" t="s">
        <v>15</v>
      </c>
      <c r="C3" t="s">
        <v>16</v>
      </c>
      <c r="D3" s="1">
        <v>1.2</v>
      </c>
      <c r="E3" s="2">
        <v>25</v>
      </c>
      <c r="F3" s="1">
        <v>1.6</v>
      </c>
      <c r="H3" s="2">
        <f>tProductos[[#This Row],[Altura_m]]*tProductos[[#This Row],[Largo_m]]</f>
        <v>30</v>
      </c>
      <c r="J3" s="3">
        <v>2100</v>
      </c>
      <c r="K3" s="3">
        <v>1.2070000000000001</v>
      </c>
      <c r="L3" s="4">
        <f>tProductos[[#This Row],[PrecioVenta_UYU]]/tProductos[[#This Row],[M2_Rollo]]</f>
        <v>70</v>
      </c>
      <c r="N3" s="3" t="s">
        <v>20</v>
      </c>
    </row>
    <row r="4" spans="1:14" x14ac:dyDescent="0.3">
      <c r="A4" t="s">
        <v>21</v>
      </c>
      <c r="B4" t="s">
        <v>15</v>
      </c>
      <c r="C4" t="s">
        <v>16</v>
      </c>
      <c r="D4" s="1">
        <v>1.5</v>
      </c>
      <c r="E4" s="2">
        <v>25</v>
      </c>
      <c r="F4" s="1">
        <v>1.6</v>
      </c>
      <c r="H4" s="2">
        <f>tProductos[[#This Row],[Altura_m]]*tProductos[[#This Row],[Largo_m]]</f>
        <v>37.5</v>
      </c>
      <c r="J4" s="3">
        <v>2800</v>
      </c>
      <c r="K4" s="3">
        <v>1.2070000000000001</v>
      </c>
      <c r="L4" s="4">
        <f>tProductos[[#This Row],[PrecioVenta_UYU]]/tProductos[[#This Row],[M2_Rollo]]</f>
        <v>74.666666666666671</v>
      </c>
      <c r="N4" s="3" t="s">
        <v>22</v>
      </c>
    </row>
    <row r="5" spans="1:14" x14ac:dyDescent="0.3">
      <c r="A5" t="s">
        <v>23</v>
      </c>
      <c r="B5" t="s">
        <v>15</v>
      </c>
      <c r="C5" t="s">
        <v>16</v>
      </c>
      <c r="D5" s="1">
        <v>1.8</v>
      </c>
      <c r="E5" s="2">
        <v>25</v>
      </c>
      <c r="F5" s="1">
        <v>1.6</v>
      </c>
      <c r="H5" s="2">
        <f>tProductos[[#This Row],[Altura_m]]*tProductos[[#This Row],[Largo_m]]</f>
        <v>45</v>
      </c>
      <c r="J5" s="3">
        <v>3400</v>
      </c>
      <c r="K5" s="3">
        <v>1.2070000000000001</v>
      </c>
      <c r="L5" s="4">
        <f>tProductos[[#This Row],[PrecioVenta_UYU]]/tProductos[[#This Row],[M2_Rollo]]</f>
        <v>75.555555555555557</v>
      </c>
      <c r="N5" s="3" t="s">
        <v>24</v>
      </c>
    </row>
    <row r="6" spans="1:14" x14ac:dyDescent="0.3">
      <c r="A6" t="s">
        <v>25</v>
      </c>
      <c r="B6" t="s">
        <v>15</v>
      </c>
      <c r="C6" t="s">
        <v>16</v>
      </c>
      <c r="D6" s="1">
        <v>1</v>
      </c>
      <c r="E6" s="2">
        <v>25</v>
      </c>
      <c r="F6" s="1">
        <v>1.9</v>
      </c>
      <c r="H6" s="2">
        <f>tProductos[[#This Row],[Altura_m]]*tProductos[[#This Row],[Largo_m]]</f>
        <v>25</v>
      </c>
      <c r="J6" s="3">
        <v>2100</v>
      </c>
      <c r="K6" s="3">
        <v>1.6685000000000001</v>
      </c>
      <c r="L6" s="4">
        <f>tProductos[[#This Row],[PrecioVenta_UYU]]/tProductos[[#This Row],[M2_Rollo]]</f>
        <v>84</v>
      </c>
      <c r="N6" s="3" t="s">
        <v>26</v>
      </c>
    </row>
    <row r="7" spans="1:14" x14ac:dyDescent="0.3">
      <c r="A7" t="s">
        <v>27</v>
      </c>
      <c r="B7" t="s">
        <v>15</v>
      </c>
      <c r="C7" t="s">
        <v>16</v>
      </c>
      <c r="D7" s="1">
        <v>1.2</v>
      </c>
      <c r="E7" s="2">
        <v>25</v>
      </c>
      <c r="F7" s="1">
        <v>1.9</v>
      </c>
      <c r="H7" s="2">
        <f>tProductos[[#This Row],[Altura_m]]*tProductos[[#This Row],[Largo_m]]</f>
        <v>30</v>
      </c>
      <c r="J7" s="3">
        <v>2400</v>
      </c>
      <c r="K7" s="3">
        <v>1.6685000000000001</v>
      </c>
      <c r="L7" s="4">
        <f>tProductos[[#This Row],[PrecioVenta_UYU]]/tProductos[[#This Row],[M2_Rollo]]</f>
        <v>80</v>
      </c>
      <c r="N7" s="3" t="s">
        <v>28</v>
      </c>
    </row>
    <row r="8" spans="1:14" x14ac:dyDescent="0.3">
      <c r="A8" t="s">
        <v>29</v>
      </c>
      <c r="B8" t="s">
        <v>15</v>
      </c>
      <c r="C8" t="s">
        <v>16</v>
      </c>
      <c r="D8" s="1">
        <v>1.5</v>
      </c>
      <c r="E8" s="2">
        <v>25</v>
      </c>
      <c r="F8" s="1">
        <v>1.9</v>
      </c>
      <c r="H8" s="2">
        <f>tProductos[[#This Row],[Altura_m]]*tProductos[[#This Row],[Largo_m]]</f>
        <v>37.5</v>
      </c>
      <c r="J8" s="3">
        <v>3100</v>
      </c>
      <c r="K8" s="3">
        <v>1.6685000000000001</v>
      </c>
      <c r="L8" s="4">
        <f>tProductos[[#This Row],[PrecioVenta_UYU]]/tProductos[[#This Row],[M2_Rollo]]</f>
        <v>82.666666666666671</v>
      </c>
      <c r="N8" s="3" t="s">
        <v>30</v>
      </c>
    </row>
    <row r="9" spans="1:14" x14ac:dyDescent="0.3">
      <c r="A9" t="s">
        <v>31</v>
      </c>
      <c r="B9" t="s">
        <v>15</v>
      </c>
      <c r="C9" t="s">
        <v>16</v>
      </c>
      <c r="D9" s="1">
        <v>1.8</v>
      </c>
      <c r="E9" s="2">
        <v>25</v>
      </c>
      <c r="F9" s="1">
        <v>1.9</v>
      </c>
      <c r="H9" s="2">
        <f>tProductos[[#This Row],[Altura_m]]*tProductos[[#This Row],[Largo_m]]</f>
        <v>45</v>
      </c>
      <c r="J9" s="3">
        <v>3800</v>
      </c>
      <c r="K9" s="3">
        <v>1.6685000000000001</v>
      </c>
      <c r="L9" s="4">
        <f>tProductos[[#This Row],[PrecioVenta_UYU]]/tProductos[[#This Row],[M2_Rollo]]</f>
        <v>84.444444444444443</v>
      </c>
      <c r="N9" s="3" t="s">
        <v>32</v>
      </c>
    </row>
    <row r="10" spans="1:14" x14ac:dyDescent="0.3">
      <c r="A10" t="s">
        <v>33</v>
      </c>
      <c r="B10" t="s">
        <v>15</v>
      </c>
      <c r="C10" t="s">
        <v>16</v>
      </c>
      <c r="D10" s="1">
        <v>2</v>
      </c>
      <c r="E10" s="2">
        <v>25</v>
      </c>
      <c r="F10" s="1">
        <v>1.9</v>
      </c>
      <c r="H10" s="2">
        <f>tProductos[[#This Row],[Altura_m]]*tProductos[[#This Row],[Largo_m]]</f>
        <v>50</v>
      </c>
      <c r="J10" s="3">
        <v>4000</v>
      </c>
      <c r="K10" s="3">
        <v>1.6685000000000001</v>
      </c>
      <c r="L10" s="4">
        <f>tProductos[[#This Row],[PrecioVenta_UYU]]/tProductos[[#This Row],[M2_Rollo]]</f>
        <v>80</v>
      </c>
      <c r="N10" s="3" t="s">
        <v>34</v>
      </c>
    </row>
    <row r="11" spans="1:14" x14ac:dyDescent="0.3">
      <c r="A11" t="s">
        <v>35</v>
      </c>
      <c r="B11" t="s">
        <v>15</v>
      </c>
      <c r="C11" t="s">
        <v>16</v>
      </c>
      <c r="D11" s="1">
        <v>1</v>
      </c>
      <c r="E11" s="2">
        <v>25</v>
      </c>
      <c r="F11" s="1">
        <v>2.5</v>
      </c>
      <c r="H11" s="2">
        <f>tProductos[[#This Row],[Altura_m]]*tProductos[[#This Row],[Largo_m]]</f>
        <v>25</v>
      </c>
      <c r="J11" s="3">
        <v>3100</v>
      </c>
      <c r="K11" s="3">
        <v>2.2570000000000001</v>
      </c>
      <c r="L11" s="4">
        <f>tProductos[[#This Row],[PrecioVenta_UYU]]/tProductos[[#This Row],[M2_Rollo]]</f>
        <v>124</v>
      </c>
      <c r="N11" s="3" t="s">
        <v>36</v>
      </c>
    </row>
    <row r="12" spans="1:14" x14ac:dyDescent="0.3">
      <c r="A12" t="s">
        <v>37</v>
      </c>
      <c r="B12" t="s">
        <v>15</v>
      </c>
      <c r="C12" t="s">
        <v>16</v>
      </c>
      <c r="D12" s="1">
        <v>1.2</v>
      </c>
      <c r="E12" s="2">
        <v>25</v>
      </c>
      <c r="F12" s="1">
        <v>2.5</v>
      </c>
      <c r="H12" s="2">
        <f>tProductos[[#This Row],[Altura_m]]*tProductos[[#This Row],[Largo_m]]</f>
        <v>30</v>
      </c>
      <c r="J12" s="3">
        <v>3400</v>
      </c>
      <c r="K12" s="3">
        <v>2.2570000000000001</v>
      </c>
      <c r="L12" s="4">
        <f>tProductos[[#This Row],[PrecioVenta_UYU]]/tProductos[[#This Row],[M2_Rollo]]</f>
        <v>113.33333333333333</v>
      </c>
      <c r="N12" s="3" t="s">
        <v>38</v>
      </c>
    </row>
    <row r="13" spans="1:14" x14ac:dyDescent="0.3">
      <c r="A13" t="s">
        <v>39</v>
      </c>
      <c r="B13" t="s">
        <v>15</v>
      </c>
      <c r="C13" t="s">
        <v>16</v>
      </c>
      <c r="D13" s="1">
        <v>1.5</v>
      </c>
      <c r="E13" s="2">
        <v>25</v>
      </c>
      <c r="F13" s="1">
        <v>2.5</v>
      </c>
      <c r="H13" s="2">
        <f>tProductos[[#This Row],[Altura_m]]*tProductos[[#This Row],[Largo_m]]</f>
        <v>37.5</v>
      </c>
      <c r="J13" s="3">
        <v>4100</v>
      </c>
      <c r="K13" s="3">
        <v>2.2570000000000001</v>
      </c>
      <c r="L13" s="4">
        <f>tProductos[[#This Row],[PrecioVenta_UYU]]/tProductos[[#This Row],[M2_Rollo]]</f>
        <v>109.33333333333333</v>
      </c>
      <c r="N13" s="3" t="s">
        <v>40</v>
      </c>
    </row>
    <row r="14" spans="1:14" x14ac:dyDescent="0.3">
      <c r="A14" t="s">
        <v>41</v>
      </c>
      <c r="B14" t="s">
        <v>15</v>
      </c>
      <c r="C14" t="s">
        <v>16</v>
      </c>
      <c r="D14" s="1">
        <v>1.8</v>
      </c>
      <c r="E14" s="2">
        <v>25</v>
      </c>
      <c r="F14" s="1">
        <v>2.5</v>
      </c>
      <c r="H14" s="2">
        <f>tProductos[[#This Row],[Altura_m]]*tProductos[[#This Row],[Largo_m]]</f>
        <v>45</v>
      </c>
      <c r="J14" s="3">
        <v>4800</v>
      </c>
      <c r="K14" s="3">
        <v>2.2570000000000001</v>
      </c>
      <c r="L14" s="4">
        <f>tProductos[[#This Row],[PrecioVenta_UYU]]/tProductos[[#This Row],[M2_Rollo]]</f>
        <v>106.66666666666667</v>
      </c>
      <c r="N14" s="3" t="s">
        <v>42</v>
      </c>
    </row>
    <row r="15" spans="1:14" x14ac:dyDescent="0.3">
      <c r="A15" t="s">
        <v>43</v>
      </c>
      <c r="B15" t="s">
        <v>15</v>
      </c>
      <c r="C15" t="s">
        <v>16</v>
      </c>
      <c r="D15" s="1">
        <v>2</v>
      </c>
      <c r="E15" s="2">
        <v>25</v>
      </c>
      <c r="F15" s="1">
        <v>2.5</v>
      </c>
      <c r="H15" s="2">
        <f>tProductos[[#This Row],[Altura_m]]*tProductos[[#This Row],[Largo_m]]</f>
        <v>50</v>
      </c>
      <c r="J15" s="3">
        <v>5000</v>
      </c>
      <c r="K15" s="3">
        <v>2.2570000000000001</v>
      </c>
      <c r="L15" s="4">
        <f>tProductos[[#This Row],[PrecioVenta_UYU]]/tProductos[[#This Row],[M2_Rollo]]</f>
        <v>100</v>
      </c>
      <c r="N15" s="3" t="s">
        <v>44</v>
      </c>
    </row>
    <row r="16" spans="1:14" x14ac:dyDescent="0.3">
      <c r="A16" t="s">
        <v>45</v>
      </c>
      <c r="B16" t="s">
        <v>15</v>
      </c>
      <c r="C16" t="s">
        <v>46</v>
      </c>
      <c r="D16" s="1">
        <v>1</v>
      </c>
      <c r="E16" s="2">
        <v>25</v>
      </c>
      <c r="G16" s="2">
        <v>5</v>
      </c>
      <c r="H16" s="2">
        <f>tProductos[[#This Row],[Altura_m]]*tProductos[[#This Row],[Largo_m]]</f>
        <v>25</v>
      </c>
      <c r="I16" s="3">
        <v>56</v>
      </c>
      <c r="J16" s="3">
        <v>2790</v>
      </c>
      <c r="L16" s="4">
        <f>tProductos[[#This Row],[PrecioVenta_UYU]]/tProductos[[#This Row],[M2_Rollo]]</f>
        <v>111.6</v>
      </c>
      <c r="M16" t="s">
        <v>47</v>
      </c>
      <c r="N16" s="3" t="s">
        <v>48</v>
      </c>
    </row>
    <row r="17" spans="1:14" x14ac:dyDescent="0.3">
      <c r="A17" t="s">
        <v>49</v>
      </c>
      <c r="B17" t="s">
        <v>15</v>
      </c>
      <c r="C17" t="s">
        <v>46</v>
      </c>
      <c r="D17" s="1">
        <v>1.2</v>
      </c>
      <c r="E17" s="2">
        <v>25</v>
      </c>
      <c r="G17" s="2">
        <v>5</v>
      </c>
      <c r="H17" s="2">
        <f>tProductos[[#This Row],[Altura_m]]*tProductos[[#This Row],[Largo_m]]</f>
        <v>30</v>
      </c>
      <c r="I17" s="3">
        <v>56</v>
      </c>
      <c r="J17" s="3">
        <v>2890</v>
      </c>
      <c r="L17" s="4">
        <f>tProductos[[#This Row],[PrecioVenta_UYU]]/tProductos[[#This Row],[M2_Rollo]]</f>
        <v>96.333333333333329</v>
      </c>
      <c r="N17" s="3" t="s">
        <v>50</v>
      </c>
    </row>
    <row r="18" spans="1:14" x14ac:dyDescent="0.3">
      <c r="A18" t="s">
        <v>51</v>
      </c>
      <c r="B18" t="s">
        <v>15</v>
      </c>
      <c r="C18" t="s">
        <v>46</v>
      </c>
      <c r="D18" s="1">
        <v>1.4</v>
      </c>
      <c r="E18" s="2">
        <v>25</v>
      </c>
      <c r="G18" s="2">
        <v>5</v>
      </c>
      <c r="H18" s="2">
        <f>tProductos[[#This Row],[Altura_m]]*tProductos[[#This Row],[Largo_m]]</f>
        <v>35</v>
      </c>
      <c r="I18" s="3">
        <v>62</v>
      </c>
      <c r="J18" s="3">
        <v>2990</v>
      </c>
      <c r="L18" s="4">
        <f>tProductos[[#This Row],[PrecioVenta_UYU]]/tProductos[[#This Row],[M2_Rollo]]</f>
        <v>85.428571428571431</v>
      </c>
      <c r="N18" s="3" t="s">
        <v>52</v>
      </c>
    </row>
    <row r="19" spans="1:14" x14ac:dyDescent="0.3">
      <c r="A19" t="s">
        <v>53</v>
      </c>
      <c r="B19" t="s">
        <v>15</v>
      </c>
      <c r="C19" t="s">
        <v>46</v>
      </c>
      <c r="D19" s="1">
        <v>1</v>
      </c>
      <c r="E19" s="2">
        <v>50</v>
      </c>
      <c r="G19" s="2">
        <v>5</v>
      </c>
      <c r="H19" s="2">
        <f>tProductos[[#This Row],[Altura_m]]*tProductos[[#This Row],[Largo_m]]</f>
        <v>50</v>
      </c>
      <c r="I19" s="3">
        <v>111</v>
      </c>
      <c r="J19" s="3">
        <v>5490</v>
      </c>
      <c r="L19" s="4">
        <f>tProductos[[#This Row],[PrecioVenta_UYU]]/tProductos[[#This Row],[M2_Rollo]]</f>
        <v>109.8</v>
      </c>
      <c r="N19" s="3" t="s">
        <v>54</v>
      </c>
    </row>
    <row r="20" spans="1:14" x14ac:dyDescent="0.3">
      <c r="A20" t="s">
        <v>55</v>
      </c>
      <c r="B20" t="s">
        <v>15</v>
      </c>
      <c r="C20" t="s">
        <v>46</v>
      </c>
      <c r="D20" s="1">
        <v>1.2</v>
      </c>
      <c r="E20" s="2">
        <v>50</v>
      </c>
      <c r="G20" s="2">
        <v>5</v>
      </c>
      <c r="H20" s="2">
        <f>tProductos[[#This Row],[Altura_m]]*tProductos[[#This Row],[Largo_m]]</f>
        <v>60</v>
      </c>
      <c r="I20" s="3">
        <v>114</v>
      </c>
      <c r="J20" s="3">
        <v>5690</v>
      </c>
      <c r="L20" s="4">
        <f>tProductos[[#This Row],[PrecioVenta_UYU]]/tProductos[[#This Row],[M2_Rollo]]</f>
        <v>94.833333333333329</v>
      </c>
      <c r="N20" s="3" t="s">
        <v>56</v>
      </c>
    </row>
    <row r="21" spans="1:14" x14ac:dyDescent="0.3">
      <c r="A21" t="s">
        <v>57</v>
      </c>
      <c r="B21" t="s">
        <v>15</v>
      </c>
      <c r="C21" t="s">
        <v>46</v>
      </c>
      <c r="D21" s="1">
        <v>1.4</v>
      </c>
      <c r="E21" s="2">
        <v>50</v>
      </c>
      <c r="G21" s="2">
        <v>5</v>
      </c>
      <c r="H21" s="2">
        <f>tProductos[[#This Row],[Altura_m]]*tProductos[[#This Row],[Largo_m]]</f>
        <v>70</v>
      </c>
      <c r="I21" s="3">
        <v>120</v>
      </c>
      <c r="J21" s="3">
        <v>5990</v>
      </c>
      <c r="L21" s="4">
        <f>tProductos[[#This Row],[PrecioVenta_UYU]]/tProductos[[#This Row],[M2_Rollo]]</f>
        <v>85.571428571428569</v>
      </c>
      <c r="N21" s="3" t="s">
        <v>58</v>
      </c>
    </row>
    <row r="22" spans="1:14" x14ac:dyDescent="0.3">
      <c r="A22" t="s">
        <v>59</v>
      </c>
      <c r="B22" t="s">
        <v>15</v>
      </c>
      <c r="C22" t="s">
        <v>46</v>
      </c>
      <c r="D22" s="1">
        <v>1</v>
      </c>
      <c r="E22" s="2">
        <v>25</v>
      </c>
      <c r="G22" s="2">
        <v>10</v>
      </c>
      <c r="H22" s="2">
        <f>tProductos[[#This Row],[Altura_m]]*tProductos[[#This Row],[Largo_m]]</f>
        <v>25</v>
      </c>
      <c r="I22" s="3">
        <v>46</v>
      </c>
      <c r="L22" s="4">
        <f>tProductos[[#This Row],[PrecioVenta_UYU]]/tProductos[[#This Row],[M2_Rollo]]</f>
        <v>0</v>
      </c>
      <c r="N22" s="3" t="s">
        <v>60</v>
      </c>
    </row>
    <row r="23" spans="1:14" x14ac:dyDescent="0.3">
      <c r="A23" t="s">
        <v>61</v>
      </c>
      <c r="B23" t="s">
        <v>15</v>
      </c>
      <c r="C23" t="s">
        <v>46</v>
      </c>
      <c r="D23" s="1">
        <v>1.2</v>
      </c>
      <c r="E23" s="2">
        <v>25</v>
      </c>
      <c r="G23" s="2">
        <v>10</v>
      </c>
      <c r="H23" s="2">
        <f>tProductos[[#This Row],[Altura_m]]*tProductos[[#This Row],[Largo_m]]</f>
        <v>30</v>
      </c>
      <c r="I23" s="3">
        <v>49</v>
      </c>
      <c r="J23" s="3">
        <v>2400</v>
      </c>
      <c r="L23" s="4">
        <f>tProductos[[#This Row],[PrecioVenta_UYU]]/tProductos[[#This Row],[M2_Rollo]]</f>
        <v>80</v>
      </c>
      <c r="N23" s="3" t="s">
        <v>62</v>
      </c>
    </row>
    <row r="24" spans="1:14" x14ac:dyDescent="0.3">
      <c r="A24" t="s">
        <v>63</v>
      </c>
      <c r="B24" t="s">
        <v>15</v>
      </c>
      <c r="C24" t="s">
        <v>46</v>
      </c>
      <c r="D24" s="1">
        <v>1.4</v>
      </c>
      <c r="E24" s="2">
        <v>25</v>
      </c>
      <c r="G24" s="2">
        <v>10</v>
      </c>
      <c r="H24" s="2">
        <f>tProductos[[#This Row],[Altura_m]]*tProductos[[#This Row],[Largo_m]]</f>
        <v>35</v>
      </c>
      <c r="I24" s="3">
        <v>51</v>
      </c>
      <c r="J24" s="3">
        <v>2790</v>
      </c>
      <c r="L24" s="4">
        <f>tProductos[[#This Row],[PrecioVenta_UYU]]/tProductos[[#This Row],[M2_Rollo]]</f>
        <v>79.714285714285708</v>
      </c>
      <c r="N24" s="3" t="s">
        <v>64</v>
      </c>
    </row>
    <row r="25" spans="1:14" x14ac:dyDescent="0.3">
      <c r="A25" t="s">
        <v>65</v>
      </c>
      <c r="B25" t="s">
        <v>15</v>
      </c>
      <c r="C25" t="s">
        <v>46</v>
      </c>
      <c r="D25" s="1">
        <v>1</v>
      </c>
      <c r="E25" s="2">
        <v>50</v>
      </c>
      <c r="G25" s="2">
        <v>10</v>
      </c>
      <c r="H25" s="2">
        <f>tProductos[[#This Row],[Altura_m]]*tProductos[[#This Row],[Largo_m]]</f>
        <v>50</v>
      </c>
      <c r="I25" s="3">
        <v>93</v>
      </c>
      <c r="L25" s="4">
        <f>tProductos[[#This Row],[PrecioVenta_UYU]]/tProductos[[#This Row],[M2_Rollo]]</f>
        <v>0</v>
      </c>
      <c r="N25" s="3" t="s">
        <v>66</v>
      </c>
    </row>
    <row r="26" spans="1:14" x14ac:dyDescent="0.3">
      <c r="A26" t="s">
        <v>146</v>
      </c>
      <c r="B26" t="s">
        <v>15</v>
      </c>
      <c r="C26" t="s">
        <v>46</v>
      </c>
      <c r="D26" s="1">
        <v>1.2</v>
      </c>
      <c r="E26" s="2">
        <v>50</v>
      </c>
      <c r="G26" s="2">
        <v>10</v>
      </c>
      <c r="H26" s="2">
        <f>tProductos[[#This Row],[Altura_m]]*tProductos[[#This Row],[Largo_m]]</f>
        <v>60</v>
      </c>
      <c r="I26" s="3">
        <v>79</v>
      </c>
      <c r="J26" s="3">
        <v>4790</v>
      </c>
      <c r="L26" s="4">
        <f>tProductos[[#This Row],[PrecioVenta_UYU]]/tProductos[[#This Row],[M2_Rollo]]</f>
        <v>79.833333333333329</v>
      </c>
      <c r="N26" s="3" t="s">
        <v>67</v>
      </c>
    </row>
    <row r="27" spans="1:14" x14ac:dyDescent="0.3">
      <c r="A27" t="s">
        <v>68</v>
      </c>
      <c r="B27" t="s">
        <v>15</v>
      </c>
      <c r="C27" t="s">
        <v>46</v>
      </c>
      <c r="D27" s="1">
        <v>1.4</v>
      </c>
      <c r="E27" s="2">
        <v>50</v>
      </c>
      <c r="G27" s="2">
        <v>10</v>
      </c>
      <c r="H27" s="2">
        <f>tProductos[[#This Row],[Altura_m]]*tProductos[[#This Row],[Largo_m]]</f>
        <v>70</v>
      </c>
      <c r="I27" s="3">
        <v>102</v>
      </c>
      <c r="J27" s="3">
        <v>5500</v>
      </c>
      <c r="L27" s="4">
        <f>tProductos[[#This Row],[PrecioVenta_UYU]]/tProductos[[#This Row],[M2_Rollo]]</f>
        <v>78.571428571428569</v>
      </c>
      <c r="N27" s="3" t="s">
        <v>69</v>
      </c>
    </row>
    <row r="28" spans="1:14" x14ac:dyDescent="0.3">
      <c r="A28" t="s">
        <v>70</v>
      </c>
      <c r="B28" t="s">
        <v>15</v>
      </c>
      <c r="C28" t="s">
        <v>46</v>
      </c>
      <c r="D28" s="1">
        <v>1</v>
      </c>
      <c r="E28" s="2">
        <v>25</v>
      </c>
      <c r="G28" s="2">
        <v>15</v>
      </c>
      <c r="H28" s="2">
        <f>tProductos[[#This Row],[Altura_m]]*tProductos[[#This Row],[Largo_m]]</f>
        <v>25</v>
      </c>
      <c r="J28" s="3">
        <v>2050</v>
      </c>
      <c r="L28" s="4">
        <f>tProductos[[#This Row],[PrecioVenta_UYU]]/tProductos[[#This Row],[M2_Rollo]]</f>
        <v>82</v>
      </c>
      <c r="N28" s="3" t="s">
        <v>71</v>
      </c>
    </row>
    <row r="29" spans="1:14" x14ac:dyDescent="0.3">
      <c r="A29" t="s">
        <v>72</v>
      </c>
      <c r="B29" t="s">
        <v>15</v>
      </c>
      <c r="C29" t="s">
        <v>46</v>
      </c>
      <c r="D29" s="1">
        <v>1.2</v>
      </c>
      <c r="E29" s="2">
        <v>25</v>
      </c>
      <c r="G29" s="2">
        <v>15</v>
      </c>
      <c r="H29" s="2">
        <f>tProductos[[#This Row],[Altura_m]]*tProductos[[#This Row],[Largo_m]]</f>
        <v>30</v>
      </c>
      <c r="J29" s="3">
        <v>2200</v>
      </c>
      <c r="L29" s="4">
        <f>tProductos[[#This Row],[PrecioVenta_UYU]]/tProductos[[#This Row],[M2_Rollo]]</f>
        <v>73.333333333333329</v>
      </c>
      <c r="N29" s="3" t="s">
        <v>73</v>
      </c>
    </row>
    <row r="30" spans="1:14" x14ac:dyDescent="0.3">
      <c r="A30" t="s">
        <v>74</v>
      </c>
      <c r="B30" t="s">
        <v>15</v>
      </c>
      <c r="C30" t="s">
        <v>46</v>
      </c>
      <c r="D30" s="1">
        <v>1.4</v>
      </c>
      <c r="E30" s="2">
        <v>25</v>
      </c>
      <c r="G30" s="2">
        <v>15</v>
      </c>
      <c r="H30" s="2">
        <f>tProductos[[#This Row],[Altura_m]]*tProductos[[#This Row],[Largo_m]]</f>
        <v>35</v>
      </c>
      <c r="J30" s="3">
        <v>2250</v>
      </c>
      <c r="L30" s="4">
        <f>tProductos[[#This Row],[PrecioVenta_UYU]]/tProductos[[#This Row],[M2_Rollo]]</f>
        <v>64.285714285714292</v>
      </c>
      <c r="N30" s="3" t="s">
        <v>75</v>
      </c>
    </row>
    <row r="31" spans="1:14" x14ac:dyDescent="0.3">
      <c r="A31" t="s">
        <v>76</v>
      </c>
      <c r="B31" t="s">
        <v>15</v>
      </c>
      <c r="C31" t="s">
        <v>46</v>
      </c>
      <c r="D31" s="1">
        <v>1</v>
      </c>
      <c r="E31" s="2">
        <v>50</v>
      </c>
      <c r="G31" s="2">
        <v>15</v>
      </c>
      <c r="H31" s="2">
        <f>tProductos[[#This Row],[Altura_m]]*tProductos[[#This Row],[Largo_m]]</f>
        <v>50</v>
      </c>
      <c r="I31" s="3">
        <v>87</v>
      </c>
      <c r="J31" s="3">
        <v>4090</v>
      </c>
      <c r="L31" s="4">
        <f>tProductos[[#This Row],[PrecioVenta_UYU]]/tProductos[[#This Row],[M2_Rollo]]</f>
        <v>81.8</v>
      </c>
      <c r="N31" s="3" t="s">
        <v>77</v>
      </c>
    </row>
    <row r="32" spans="1:14" x14ac:dyDescent="0.3">
      <c r="A32" t="s">
        <v>78</v>
      </c>
      <c r="B32" t="s">
        <v>15</v>
      </c>
      <c r="C32" t="s">
        <v>46</v>
      </c>
      <c r="D32" s="1">
        <v>1.2</v>
      </c>
      <c r="E32" s="2">
        <v>50</v>
      </c>
      <c r="G32" s="2">
        <v>15</v>
      </c>
      <c r="H32" s="2">
        <f>tProductos[[#This Row],[Altura_m]]*tProductos[[#This Row],[Largo_m]]</f>
        <v>60</v>
      </c>
      <c r="I32" s="3">
        <v>90</v>
      </c>
      <c r="J32" s="3">
        <v>4390</v>
      </c>
      <c r="L32" s="4">
        <f>tProductos[[#This Row],[PrecioVenta_UYU]]/tProductos[[#This Row],[M2_Rollo]]</f>
        <v>73.166666666666671</v>
      </c>
      <c r="N32" s="3" t="s">
        <v>79</v>
      </c>
    </row>
    <row r="33" spans="1:14" x14ac:dyDescent="0.3">
      <c r="A33" t="s">
        <v>80</v>
      </c>
      <c r="B33" t="s">
        <v>15</v>
      </c>
      <c r="C33" t="s">
        <v>46</v>
      </c>
      <c r="D33" s="1">
        <v>1.4</v>
      </c>
      <c r="E33" s="2">
        <v>50</v>
      </c>
      <c r="G33" s="2">
        <v>15</v>
      </c>
      <c r="H33" s="2">
        <f>tProductos[[#This Row],[Altura_m]]*tProductos[[#This Row],[Largo_m]]</f>
        <v>70</v>
      </c>
      <c r="I33" s="3">
        <v>91</v>
      </c>
      <c r="J33" s="3">
        <v>4490</v>
      </c>
      <c r="L33" s="4">
        <f>tProductos[[#This Row],[PrecioVenta_UYU]]/tProductos[[#This Row],[M2_Rollo]]</f>
        <v>64.142857142857139</v>
      </c>
      <c r="N33" s="3" t="s">
        <v>81</v>
      </c>
    </row>
    <row r="34" spans="1:14" x14ac:dyDescent="0.3">
      <c r="A34" t="s">
        <v>82</v>
      </c>
      <c r="B34" t="s">
        <v>15</v>
      </c>
      <c r="C34" t="s">
        <v>46</v>
      </c>
      <c r="D34" s="1">
        <v>1</v>
      </c>
      <c r="E34" s="2">
        <v>100</v>
      </c>
      <c r="G34" s="2">
        <v>15</v>
      </c>
      <c r="H34" s="2">
        <f>tProductos[[#This Row],[Altura_m]]*tProductos[[#This Row],[Largo_m]]</f>
        <v>100</v>
      </c>
      <c r="I34" s="3">
        <v>174</v>
      </c>
      <c r="J34" s="3">
        <v>7990</v>
      </c>
      <c r="L34" s="4">
        <f>tProductos[[#This Row],[PrecioVenta_UYU]]/tProductos[[#This Row],[M2_Rollo]]</f>
        <v>79.900000000000006</v>
      </c>
      <c r="N34" s="3" t="s">
        <v>83</v>
      </c>
    </row>
    <row r="35" spans="1:14" x14ac:dyDescent="0.3">
      <c r="A35" t="s">
        <v>84</v>
      </c>
      <c r="B35" t="s">
        <v>15</v>
      </c>
      <c r="C35" t="s">
        <v>46</v>
      </c>
      <c r="D35" s="1">
        <v>1.2</v>
      </c>
      <c r="E35" s="2">
        <v>100</v>
      </c>
      <c r="G35" s="2">
        <v>15</v>
      </c>
      <c r="H35" s="2">
        <f>tProductos[[#This Row],[Altura_m]]*tProductos[[#This Row],[Largo_m]]</f>
        <v>120</v>
      </c>
      <c r="I35" s="3">
        <v>178</v>
      </c>
      <c r="J35" s="3">
        <v>8690</v>
      </c>
      <c r="L35" s="4">
        <f>tProductos[[#This Row],[PrecioVenta_UYU]]/tProductos[[#This Row],[M2_Rollo]]</f>
        <v>72.416666666666671</v>
      </c>
      <c r="N35" s="3" t="s">
        <v>85</v>
      </c>
    </row>
    <row r="36" spans="1:14" x14ac:dyDescent="0.3">
      <c r="A36" t="s">
        <v>86</v>
      </c>
      <c r="B36" t="s">
        <v>15</v>
      </c>
      <c r="C36" t="s">
        <v>46</v>
      </c>
      <c r="D36" s="1">
        <v>1.4</v>
      </c>
      <c r="E36" s="2">
        <v>100</v>
      </c>
      <c r="G36" s="2">
        <v>15</v>
      </c>
      <c r="H36" s="2">
        <f>tProductos[[#This Row],[Altura_m]]*tProductos[[#This Row],[Largo_m]]</f>
        <v>140</v>
      </c>
      <c r="I36" s="3">
        <v>182</v>
      </c>
      <c r="J36" s="3">
        <v>9000</v>
      </c>
      <c r="L36" s="4">
        <f>tProductos[[#This Row],[PrecioVenta_UYU]]/tProductos[[#This Row],[M2_Rollo]]</f>
        <v>64.285714285714292</v>
      </c>
      <c r="N36" s="3" t="s">
        <v>87</v>
      </c>
    </row>
    <row r="37" spans="1:14" x14ac:dyDescent="0.3">
      <c r="A37" t="s">
        <v>88</v>
      </c>
      <c r="B37" t="s">
        <v>15</v>
      </c>
      <c r="C37" t="s">
        <v>46</v>
      </c>
      <c r="D37" s="1">
        <v>1</v>
      </c>
      <c r="E37" s="2">
        <v>50</v>
      </c>
      <c r="G37" s="2">
        <v>30</v>
      </c>
      <c r="H37" s="2">
        <f>tProductos[[#This Row],[Altura_m]]*tProductos[[#This Row],[Largo_m]]</f>
        <v>50</v>
      </c>
      <c r="I37" s="3">
        <v>69</v>
      </c>
      <c r="J37" s="3">
        <v>3500</v>
      </c>
      <c r="L37" s="4">
        <f>tProductos[[#This Row],[PrecioVenta_UYU]]/tProductos[[#This Row],[M2_Rollo]]</f>
        <v>70</v>
      </c>
      <c r="N37" s="3" t="s">
        <v>89</v>
      </c>
    </row>
    <row r="38" spans="1:14" x14ac:dyDescent="0.3">
      <c r="A38" t="s">
        <v>90</v>
      </c>
      <c r="B38" t="s">
        <v>15</v>
      </c>
      <c r="C38" t="s">
        <v>46</v>
      </c>
      <c r="D38" s="1">
        <v>1.2</v>
      </c>
      <c r="E38" s="2">
        <v>50</v>
      </c>
      <c r="G38" s="2">
        <v>30</v>
      </c>
      <c r="H38" s="2">
        <f>tProductos[[#This Row],[Altura_m]]*tProductos[[#This Row],[Largo_m]]</f>
        <v>60</v>
      </c>
      <c r="I38" s="3">
        <v>71</v>
      </c>
      <c r="J38" s="3">
        <v>3750</v>
      </c>
      <c r="L38" s="4">
        <f>tProductos[[#This Row],[PrecioVenta_UYU]]/tProductos[[#This Row],[M2_Rollo]]</f>
        <v>62.5</v>
      </c>
      <c r="N38" s="3" t="s">
        <v>91</v>
      </c>
    </row>
    <row r="39" spans="1:14" x14ac:dyDescent="0.3">
      <c r="A39" t="s">
        <v>92</v>
      </c>
      <c r="B39" t="s">
        <v>15</v>
      </c>
      <c r="C39" t="s">
        <v>46</v>
      </c>
      <c r="D39" s="1">
        <v>1.4</v>
      </c>
      <c r="E39" s="2">
        <v>50</v>
      </c>
      <c r="G39" s="2">
        <v>30</v>
      </c>
      <c r="H39" s="2">
        <f>tProductos[[#This Row],[Altura_m]]*tProductos[[#This Row],[Largo_m]]</f>
        <v>70</v>
      </c>
      <c r="I39" s="3">
        <v>75</v>
      </c>
      <c r="J39" s="3">
        <v>4000</v>
      </c>
      <c r="L39" s="4">
        <f>tProductos[[#This Row],[PrecioVenta_UYU]]/tProductos[[#This Row],[M2_Rollo]]</f>
        <v>57.142857142857146</v>
      </c>
      <c r="N39" s="3" t="s">
        <v>93</v>
      </c>
    </row>
    <row r="40" spans="1:14" x14ac:dyDescent="0.3">
      <c r="A40" t="s">
        <v>94</v>
      </c>
      <c r="B40" t="s">
        <v>15</v>
      </c>
      <c r="C40" t="s">
        <v>46</v>
      </c>
      <c r="D40" s="1">
        <v>1</v>
      </c>
      <c r="E40" s="2">
        <v>100</v>
      </c>
      <c r="G40" s="2">
        <v>30</v>
      </c>
      <c r="H40" s="2">
        <f>tProductos[[#This Row],[Altura_m]]*tProductos[[#This Row],[Largo_m]]</f>
        <v>100</v>
      </c>
      <c r="I40" s="3">
        <v>139</v>
      </c>
      <c r="J40" s="3">
        <v>6990</v>
      </c>
      <c r="L40" s="4">
        <f>tProductos[[#This Row],[PrecioVenta_UYU]]/tProductos[[#This Row],[M2_Rollo]]</f>
        <v>69.900000000000006</v>
      </c>
      <c r="N40" s="3" t="s">
        <v>95</v>
      </c>
    </row>
    <row r="41" spans="1:14" x14ac:dyDescent="0.3">
      <c r="A41" t="s">
        <v>96</v>
      </c>
      <c r="B41" t="s">
        <v>15</v>
      </c>
      <c r="C41" t="s">
        <v>46</v>
      </c>
      <c r="D41" s="1">
        <v>1.2</v>
      </c>
      <c r="E41" s="2">
        <v>100</v>
      </c>
      <c r="G41" s="2">
        <v>30</v>
      </c>
      <c r="H41" s="2">
        <f>tProductos[[#This Row],[Altura_m]]*tProductos[[#This Row],[Largo_m]]</f>
        <v>120</v>
      </c>
      <c r="I41" s="3">
        <v>144</v>
      </c>
      <c r="J41" s="3">
        <v>7490</v>
      </c>
      <c r="L41" s="4">
        <f>tProductos[[#This Row],[PrecioVenta_UYU]]/tProductos[[#This Row],[M2_Rollo]]</f>
        <v>62.416666666666664</v>
      </c>
      <c r="N41" s="3" t="s">
        <v>97</v>
      </c>
    </row>
    <row r="42" spans="1:14" x14ac:dyDescent="0.3">
      <c r="A42" t="s">
        <v>98</v>
      </c>
      <c r="B42" t="s">
        <v>15</v>
      </c>
      <c r="C42" t="s">
        <v>46</v>
      </c>
      <c r="D42" s="1">
        <v>1.4</v>
      </c>
      <c r="E42" s="2">
        <v>100</v>
      </c>
      <c r="G42" s="2">
        <v>30</v>
      </c>
      <c r="H42" s="2">
        <f>tProductos[[#This Row],[Altura_m]]*tProductos[[#This Row],[Largo_m]]</f>
        <v>140</v>
      </c>
      <c r="I42" s="3">
        <v>150</v>
      </c>
      <c r="J42" s="3">
        <v>7990</v>
      </c>
      <c r="L42" s="4">
        <f>tProductos[[#This Row],[PrecioVenta_UYU]]/tProductos[[#This Row],[M2_Rollo]]</f>
        <v>57.071428571428569</v>
      </c>
      <c r="N42" s="3" t="s">
        <v>99</v>
      </c>
    </row>
    <row r="43" spans="1:14" x14ac:dyDescent="0.3">
      <c r="A43" t="s">
        <v>100</v>
      </c>
      <c r="B43" t="s">
        <v>101</v>
      </c>
      <c r="D43" s="1">
        <v>2.2000000000000002</v>
      </c>
      <c r="H43" s="2">
        <f>tProductos[[#This Row],[Altura_m]]*tProductos[[#This Row],[Largo_m]]</f>
        <v>0</v>
      </c>
      <c r="I43" s="3">
        <v>284</v>
      </c>
      <c r="J43" s="3">
        <v>400</v>
      </c>
      <c r="L43" s="4"/>
      <c r="N43" s="3" t="s">
        <v>102</v>
      </c>
    </row>
    <row r="44" spans="1:14" x14ac:dyDescent="0.3">
      <c r="A44" t="s">
        <v>103</v>
      </c>
      <c r="B44" t="s">
        <v>101</v>
      </c>
      <c r="D44" s="1">
        <v>2.4</v>
      </c>
      <c r="H44" s="2">
        <f>tProductos[[#This Row],[Altura_m]]*tProductos[[#This Row],[Largo_m]]</f>
        <v>0</v>
      </c>
      <c r="I44" s="3">
        <v>316</v>
      </c>
      <c r="J44" s="3">
        <v>420</v>
      </c>
      <c r="L44" s="4"/>
      <c r="N44" s="3" t="s">
        <v>104</v>
      </c>
    </row>
    <row r="45" spans="1:14" x14ac:dyDescent="0.3">
      <c r="A45" t="s">
        <v>105</v>
      </c>
      <c r="B45" t="s">
        <v>101</v>
      </c>
      <c r="D45" s="1">
        <v>2.6</v>
      </c>
      <c r="H45" s="2">
        <f>tProductos[[#This Row],[Altura_m]]*tProductos[[#This Row],[Largo_m]]</f>
        <v>0</v>
      </c>
      <c r="I45" s="3">
        <v>334</v>
      </c>
      <c r="J45" s="3">
        <v>500</v>
      </c>
      <c r="L45" s="4"/>
      <c r="N45" s="3" t="s">
        <v>106</v>
      </c>
    </row>
    <row r="46" spans="1:14" x14ac:dyDescent="0.3">
      <c r="A46" t="s">
        <v>107</v>
      </c>
      <c r="B46" t="s">
        <v>108</v>
      </c>
      <c r="D46" s="1">
        <v>0.08</v>
      </c>
      <c r="E46" s="1">
        <v>0.08</v>
      </c>
      <c r="F46" s="1">
        <v>2</v>
      </c>
      <c r="H46" s="2">
        <f>tProductos[[#This Row],[Altura_m]]*tProductos[[#This Row],[Largo_m]]</f>
        <v>6.4000000000000003E-3</v>
      </c>
      <c r="K46" s="3">
        <v>95</v>
      </c>
      <c r="L46" s="4">
        <v>140</v>
      </c>
      <c r="M46" t="s">
        <v>109</v>
      </c>
      <c r="N46" s="3" t="s">
        <v>110</v>
      </c>
    </row>
    <row r="47" spans="1:14" x14ac:dyDescent="0.3">
      <c r="A47" t="s">
        <v>111</v>
      </c>
      <c r="B47" t="s">
        <v>108</v>
      </c>
      <c r="D47" s="1">
        <v>0.08</v>
      </c>
      <c r="E47" s="1">
        <v>0.08</v>
      </c>
      <c r="F47" s="1">
        <v>2.5</v>
      </c>
      <c r="H47" s="2">
        <f>tProductos[[#This Row],[Altura_m]]*tProductos[[#This Row],[Largo_m]]</f>
        <v>6.4000000000000003E-3</v>
      </c>
      <c r="K47" s="3">
        <v>235</v>
      </c>
      <c r="L47" s="4">
        <v>284</v>
      </c>
      <c r="M47" t="s">
        <v>109</v>
      </c>
      <c r="N47" s="3" t="s">
        <v>112</v>
      </c>
    </row>
    <row r="48" spans="1:14" x14ac:dyDescent="0.3">
      <c r="A48" t="s">
        <v>113</v>
      </c>
      <c r="B48" t="s">
        <v>108</v>
      </c>
      <c r="D48" s="1">
        <v>0.05</v>
      </c>
      <c r="E48" s="1">
        <v>0.05</v>
      </c>
      <c r="F48" s="1">
        <v>2</v>
      </c>
      <c r="H48" s="2">
        <f>tProductos[[#This Row],[Altura_m]]*tProductos[[#This Row],[Largo_m]]</f>
        <v>2.5000000000000005E-3</v>
      </c>
      <c r="K48" s="3">
        <v>147</v>
      </c>
      <c r="L48" s="4">
        <v>185</v>
      </c>
      <c r="M48" t="s">
        <v>114</v>
      </c>
      <c r="N48" s="3" t="s">
        <v>115</v>
      </c>
    </row>
    <row r="49" spans="1:14" x14ac:dyDescent="0.3">
      <c r="A49" t="s">
        <v>116</v>
      </c>
      <c r="B49" t="s">
        <v>108</v>
      </c>
      <c r="D49" s="1">
        <v>0.05</v>
      </c>
      <c r="E49" s="1">
        <v>0.05</v>
      </c>
      <c r="F49" s="1">
        <v>2.5</v>
      </c>
      <c r="H49" s="2">
        <f>tProductos[[#This Row],[Altura_m]]*tProductos[[#This Row],[Largo_m]]</f>
        <v>2.5000000000000005E-3</v>
      </c>
      <c r="K49" s="3">
        <v>250</v>
      </c>
      <c r="L49" s="4">
        <v>290</v>
      </c>
      <c r="M49" t="s">
        <v>114</v>
      </c>
      <c r="N49" s="3" t="s">
        <v>117</v>
      </c>
    </row>
    <row r="50" spans="1:14" x14ac:dyDescent="0.3">
      <c r="A50" t="s">
        <v>118</v>
      </c>
      <c r="B50" t="s">
        <v>119</v>
      </c>
      <c r="H50" s="2">
        <f>tProductos[[#This Row],[Altura_m]]*tProductos[[#This Row],[Largo_m]]</f>
        <v>0</v>
      </c>
      <c r="I50" s="3">
        <v>5.95</v>
      </c>
      <c r="J50" s="3">
        <v>290</v>
      </c>
      <c r="L50" s="4"/>
      <c r="M50" t="s">
        <v>47</v>
      </c>
      <c r="N50" s="3" t="s">
        <v>120</v>
      </c>
    </row>
    <row r="51" spans="1:14" x14ac:dyDescent="0.3">
      <c r="A51" t="s">
        <v>121</v>
      </c>
      <c r="B51" t="s">
        <v>122</v>
      </c>
      <c r="H51" s="2">
        <f>tProductos[[#This Row],[Altura_m]]*tProductos[[#This Row],[Largo_m]]</f>
        <v>0</v>
      </c>
      <c r="I51" s="3">
        <v>37</v>
      </c>
      <c r="J51" s="3">
        <v>75</v>
      </c>
      <c r="L51" s="4"/>
      <c r="N51" s="3" t="s">
        <v>123</v>
      </c>
    </row>
    <row r="52" spans="1:14" x14ac:dyDescent="0.3">
      <c r="A52" t="s">
        <v>124</v>
      </c>
      <c r="B52" t="s">
        <v>125</v>
      </c>
      <c r="H52" s="2">
        <f>tProductos[[#This Row],[Altura_m]]*tProductos[[#This Row],[Largo_m]]</f>
        <v>0</v>
      </c>
      <c r="I52" s="3">
        <v>3.3</v>
      </c>
      <c r="J52" s="3">
        <v>400</v>
      </c>
      <c r="L52" s="4"/>
      <c r="M52" t="s">
        <v>47</v>
      </c>
      <c r="N52" s="3" t="s">
        <v>126</v>
      </c>
    </row>
    <row r="53" spans="1:14" x14ac:dyDescent="0.3">
      <c r="A53" t="s">
        <v>127</v>
      </c>
      <c r="B53" t="s">
        <v>128</v>
      </c>
      <c r="C53" t="s">
        <v>129</v>
      </c>
      <c r="H53" s="2">
        <f>tProductos[[#This Row],[Altura_m]]*tProductos[[#This Row],[Largo_m]]</f>
        <v>0</v>
      </c>
      <c r="I53" s="3">
        <v>75</v>
      </c>
      <c r="J53" s="3">
        <v>90</v>
      </c>
      <c r="L53" s="4" t="e">
        <f>tProductos[[#This Row],[PrecioVenta_UYU]]/tProductos[[#This Row],[M2_Rollo]]</f>
        <v>#DIV/0!</v>
      </c>
      <c r="M53" t="s">
        <v>47</v>
      </c>
      <c r="N53" s="3" t="s">
        <v>130</v>
      </c>
    </row>
    <row r="54" spans="1:14" x14ac:dyDescent="0.3">
      <c r="A54" t="s">
        <v>131</v>
      </c>
      <c r="B54" t="s">
        <v>128</v>
      </c>
      <c r="C54" t="s">
        <v>132</v>
      </c>
      <c r="H54" s="2">
        <f>tProductos[[#This Row],[Altura_m]]*tProductos[[#This Row],[Largo_m]]</f>
        <v>0</v>
      </c>
      <c r="I54" s="3">
        <v>2</v>
      </c>
      <c r="J54" s="3">
        <v>170</v>
      </c>
      <c r="L54" s="4" t="e">
        <f>tProductos[[#This Row],[PrecioVenta_UYU]]/tProductos[[#This Row],[M2_Rollo]]</f>
        <v>#DIV/0!</v>
      </c>
      <c r="M54" t="s">
        <v>133</v>
      </c>
      <c r="N54" s="3" t="s">
        <v>134</v>
      </c>
    </row>
    <row r="55" spans="1:14" x14ac:dyDescent="0.3">
      <c r="A55" t="s">
        <v>135</v>
      </c>
      <c r="B55" t="s">
        <v>128</v>
      </c>
      <c r="C55" t="s">
        <v>136</v>
      </c>
      <c r="H55" s="2">
        <f>tProductos[[#This Row],[Altura_m]]*tProductos[[#This Row],[Largo_m]]</f>
        <v>0</v>
      </c>
      <c r="I55" s="3">
        <v>3.9</v>
      </c>
      <c r="J55" s="3">
        <v>200</v>
      </c>
      <c r="L55" s="4" t="e">
        <f>tProductos[[#This Row],[PrecioVenta_UYU]]/tProductos[[#This Row],[M2_Rollo]]</f>
        <v>#DIV/0!</v>
      </c>
      <c r="M55" t="s">
        <v>133</v>
      </c>
      <c r="N55" s="3" t="s">
        <v>137</v>
      </c>
    </row>
    <row r="56" spans="1:14" x14ac:dyDescent="0.3">
      <c r="B56" t="s">
        <v>15</v>
      </c>
      <c r="C56" t="s">
        <v>138</v>
      </c>
      <c r="D56" s="1">
        <v>90</v>
      </c>
      <c r="E56" s="2">
        <v>50</v>
      </c>
      <c r="G56" s="2">
        <v>15</v>
      </c>
      <c r="H56" s="2">
        <f>tProductos[[#This Row],[Altura_m]]*tProductos[[#This Row],[Largo_m]]</f>
        <v>4500</v>
      </c>
      <c r="I56" s="3">
        <v>60</v>
      </c>
      <c r="J56" s="3">
        <v>3490</v>
      </c>
      <c r="L56" s="4">
        <f>tProductos[[#This Row],[PrecioVenta_UYU]]/tProductos[[#This Row],[M2_Rollo]]</f>
        <v>0.77555555555555555</v>
      </c>
      <c r="M56" t="s">
        <v>47</v>
      </c>
      <c r="N56" s="3" t="s">
        <v>139</v>
      </c>
    </row>
    <row r="57" spans="1:14" x14ac:dyDescent="0.3">
      <c r="D57" s="1">
        <v>120</v>
      </c>
      <c r="E57" s="2">
        <v>50</v>
      </c>
      <c r="G57" s="2">
        <v>15</v>
      </c>
      <c r="H57" s="2">
        <f>tProductos[[#This Row],[Altura_m]]*tProductos[[#This Row],[Largo_m]]</f>
        <v>6000</v>
      </c>
      <c r="I57" s="3">
        <v>80</v>
      </c>
      <c r="J57" s="3">
        <v>3800</v>
      </c>
      <c r="L57" s="4">
        <f>tProductos[[#This Row],[PrecioVenta_UYU]]/tProductos[[#This Row],[M2_Rollo]]</f>
        <v>0.6333333333333333</v>
      </c>
      <c r="M57" t="s">
        <v>47</v>
      </c>
      <c r="N57" s="3" t="s">
        <v>140</v>
      </c>
    </row>
    <row r="58" spans="1:14" x14ac:dyDescent="0.3">
      <c r="D58" s="1">
        <v>140</v>
      </c>
      <c r="E58" s="2">
        <v>50</v>
      </c>
      <c r="G58" s="2">
        <v>15</v>
      </c>
      <c r="H58" s="2">
        <f>tProductos[[#This Row],[Altura_m]]*tProductos[[#This Row],[Largo_m]]</f>
        <v>7000</v>
      </c>
      <c r="I58" s="3">
        <v>99</v>
      </c>
      <c r="J58" s="3">
        <v>4500</v>
      </c>
      <c r="L58" s="4">
        <f>tProductos[[#This Row],[PrecioVenta_UYU]]/tProductos[[#This Row],[M2_Rollo]]</f>
        <v>0.6428571428571429</v>
      </c>
      <c r="M58" t="s">
        <v>47</v>
      </c>
      <c r="N58" s="3" t="s">
        <v>141</v>
      </c>
    </row>
    <row r="59" spans="1:14" x14ac:dyDescent="0.3">
      <c r="A59" t="s">
        <v>142</v>
      </c>
      <c r="B59" t="s">
        <v>143</v>
      </c>
      <c r="H59" s="2">
        <f>tProductos[[#This Row],[Altura_m]]*tProductos[[#This Row],[Largo_m]]</f>
        <v>0</v>
      </c>
      <c r="I59" s="3">
        <v>120</v>
      </c>
      <c r="J59" s="3">
        <v>200</v>
      </c>
      <c r="L59" s="4" t="e">
        <f>tProductos[[#This Row],[PrecioVenta_UYU]]/tProductos[[#This Row],[M2_Rollo]]</f>
        <v>#DIV/0!</v>
      </c>
      <c r="N59" s="3" t="s">
        <v>144</v>
      </c>
    </row>
    <row r="63" spans="1:14" x14ac:dyDescent="0.3">
      <c r="I63" s="3" t="s">
        <v>145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B0A08BF1AA5B41A514FBF7ED8C5ECA" ma:contentTypeVersion="4" ma:contentTypeDescription="Crear nuevo documento." ma:contentTypeScope="" ma:versionID="582c8fd0b52cccd738a5995cc2aef047">
  <xsd:schema xmlns:xsd="http://www.w3.org/2001/XMLSchema" xmlns:xs="http://www.w3.org/2001/XMLSchema" xmlns:p="http://schemas.microsoft.com/office/2006/metadata/properties" xmlns:ns3="1ece3232-948e-448f-91d9-966499215446" targetNamespace="http://schemas.microsoft.com/office/2006/metadata/properties" ma:root="true" ma:fieldsID="44d71f1f7f7d6094f3141bce3018dee0" ns3:_="">
    <xsd:import namespace="1ece3232-948e-448f-91d9-96649921544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e3232-948e-448f-91d9-96649921544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BD49B0-7511-40F2-B336-B68F967FA8F7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ece3232-948e-448f-91d9-96649921544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DD433BD-7FC0-4DBE-A84E-7366086358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05592E-F68F-4462-B2F1-F44AB5690D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ce3232-948e-448f-91d9-966499215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Karelina  Fabra</dc:creator>
  <cp:keywords/>
  <dc:description/>
  <cp:lastModifiedBy>Karelina  Fabra</cp:lastModifiedBy>
  <cp:revision/>
  <dcterms:created xsi:type="dcterms:W3CDTF">2026-01-12T21:23:36Z</dcterms:created>
  <dcterms:modified xsi:type="dcterms:W3CDTF">2026-02-03T01:45:34Z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0x01010018B0A08BF1AA5B41A514FBF7ED8C5ECA</vt:lpwstr>
  </property>
</Properties>
</file>